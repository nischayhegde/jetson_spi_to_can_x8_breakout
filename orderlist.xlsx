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6bcd58b1f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list" sheetId="1" r:id="R85a3d17ec280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$0.0000"/>
    <x:numFmt numFmtId="202" formatCode="$0.00"/>
    <x:numFmt numFmtId="203" formatCode="#,##0"/>
  </x:numFmts>
  <x:fonts count="7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sz val="10"/>
      <x:color rgb="FF5C6774"/>
      <x:name val="Arial"/>
    </x:font>
    <x:font>
      <x:b/>
      <x:sz val="10"/>
      <x:color rgb="FFFFFFFF"/>
      <x:name val="Arial"/>
    </x:font>
    <x:font>
      <x:sz val="10"/>
      <x:color rgb="FF1557A5"/>
      <x:name val="Arial"/>
    </x:font>
    <x:font>
      <x:b/>
      <x:sz val="10"/>
      <x:color rgb="FF172B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52677E"/>
      </x:patternFill>
    </x:fill>
    <x:fill>
      <x:patternFill patternType="solid">
        <x:fgColor rgb="FFF2F5F8"/>
      </x:patternFill>
    </x:fill>
    <x:fill>
      <x:patternFill patternType="solid">
        <x:fgColor rgb="FFDFE7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horizontal="right"/>
    </x:xf>
    <x:xf numFmtId="0" fontId="1" fillId="5" borderId="0" xfId="0" applyNumberFormat="1" applyFont="1" applyFill="1" applyBorder="1" applyAlignment="1">
      <x:alignment horizontal="right"/>
    </x:xf>
    <x:xf numFmtId="202" fontId="1" fillId="5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/>
    <x:xf numFmtId="200" fontId="6" fillId="5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 applyAlignment="1">
      <x:alignment horizontal="right"/>
    </x:xf>
    <x:xf numFmtId="202" fontId="6" fillId="5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0169355ea478b" /><Relationship Type="http://schemas.openxmlformats.org/officeDocument/2006/relationships/theme" Target="/xl/theme/theme1.xml" Id="R34cdf1115d9440cb" /><Relationship Type="http://schemas.openxmlformats.org/officeDocument/2006/relationships/sharedStrings" Target="/xl/sharedStrings.xml" Id="Rd242f6d3c6b94c78" /><Relationship Type="http://schemas.openxmlformats.org/officeDocument/2006/relationships/worksheet" Target="/xl/worksheets/sheet1.xml" Id="R85a3d17ec2804c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supplierLinkJ7" Type="http://schemas.openxmlformats.org/officeDocument/2006/relationships/hyperlink" Target="https://www.digikey.com/en/products/detail/microchip-technology/MCP251863T-E-SS/15985723" TargetMode="External" /><ns0:Relationship Id="supplierLinkK7" Type="http://schemas.openxmlformats.org/officeDocument/2006/relationships/hyperlink" Target="https://www.mouser.com/en/ProductDetail/Microchip-Technology/MCP251863T-E-SS?qs=doiCPypUmgEjABEwFke1cA%3D%3D" TargetMode="External" /><ns0:Relationship Id="supplierLinkJ8" Type="http://schemas.openxmlformats.org/officeDocument/2006/relationships/hyperlink" Target="https://www.digikey.com/en/products/detail/abracon-llc/ABM8G-40-000MHZ-18-D2Y-T/2218027" TargetMode="External" /><ns0:Relationship Id="supplierLinkK8" Type="http://schemas.openxmlformats.org/officeDocument/2006/relationships/hyperlink" Target="https://www.mouser.com/en/ProductDetail/ABRACON/ABM8G-40.000MHZ-18-D2Y-T?qs=3LVMET7lfiO1sAQRIVmcWA%3D%3D" TargetMode="External" /><ns0:Relationship Id="supplierLinkJ9" Type="http://schemas.openxmlformats.org/officeDocument/2006/relationships/hyperlink" Target="https://www.digikey.com/en/products/detail/texas-instruments/TLV75533PDBVR/9356541" TargetMode="External" /><ns0:Relationship Id="supplierLinkK9" Type="http://schemas.openxmlformats.org/officeDocument/2006/relationships/hyperlink" Target="https://www.mouser.com/en/ProductDetail/Texas-Instruments/TLV75533PDBVR?qs=55YtniHzbhAKEwqeO2xJXQ%3D%3D" TargetMode="External" /><ns0:Relationship Id="supplierLinkJ10" Type="http://schemas.openxmlformats.org/officeDocument/2006/relationships/hyperlink" Target="https://www.digikey.com/en/products/detail/samsung-electro-mechanics/CL10C270JB8NNNC/3889172" TargetMode="External" /><ns0:Relationship Id="supplierLinkK10" Type="http://schemas.openxmlformats.org/officeDocument/2006/relationships/hyperlink" Target="https://www.mouser.it/ProductDetail/Samsung-Electro-Mechanics/CL10C270JB8NNNC?qs=349EhDEZ59qQ7Bw6gEHQYQ%3D%3D" TargetMode="External" /><ns0:Relationship Id="supplierLinkJ11" Type="http://schemas.openxmlformats.org/officeDocument/2006/relationships/hyperlink" Target="https://www.digikey.com/en/products/detail/yageo/CC0603KRX7R9BB104/2103082" TargetMode="External" /><ns0:Relationship Id="supplierLinkK11" Type="http://schemas.openxmlformats.org/officeDocument/2006/relationships/hyperlink" Target="https://www.mouser.com/en/ProductDetail/YAGEO/CC0603KRX7R9BB104?qs=vTakOoo5QyLvVCYM2ge8LQ%3D%3D" TargetMode="External" /><ns0:Relationship Id="supplierLinkJ12" Type="http://schemas.openxmlformats.org/officeDocument/2006/relationships/hyperlink" Target="https://www.digikey.com/en/products/detail/tdk/CGA3E1X7R1E105K080AC/2672949" TargetMode="External" /><ns0:Relationship Id="supplierLinkK12" Type="http://schemas.openxmlformats.org/officeDocument/2006/relationships/hyperlink" Target="https://www.mouser.com/en/ProductDetail/TDK/CGA3E1X7R1E105K080AC?qs=NRhsANhppD9VxGl2AsmRpw%3D%3D" TargetMode="External" /><ns0:Relationship Id="supplierLinkJ13" Type="http://schemas.openxmlformats.org/officeDocument/2006/relationships/hyperlink" Target="https://www.digikey.com/en/products/detail/samsung-electro-mechanics/CL21B106KOQNNNE/3888530" TargetMode="External" /><ns0:Relationship Id="supplierLinkK13" Type="http://schemas.openxmlformats.org/officeDocument/2006/relationships/hyperlink" Target="https://www.mouser.com/en/ProductDetail/Samsung-Electro-Mechanics/CL21B106KOQNNNE?qs=349EhDEZ59r8qgLddyW2Yw%3D%3D" TargetMode="External" /><ns0:Relationship Id="supplierLinkJ14" Type="http://schemas.openxmlformats.org/officeDocument/2006/relationships/hyperlink" Target="https://www.digikey.com/en/products/detail/yageo/RC1206FR-07120RL/728523" TargetMode="External" /><ns0:Relationship Id="supplierLinkK14" Type="http://schemas.openxmlformats.org/officeDocument/2006/relationships/hyperlink" Target="https://www.mouser.com/en/ProductDetail/YAGEO/RC1206FR-07120RL?qs=sGAEpiMZZMvdGkrng054t8AJgcdMkx7xHngnO2SPVlk%3D" TargetMode="External" /><ns0:Relationship Id="supplierLinkJ15" Type="http://schemas.openxmlformats.org/officeDocument/2006/relationships/hyperlink" Target="https://www.digikey.com/en/products/detail/yageo/AC0603FR-0710KL/2828135" TargetMode="External" /><ns0:Relationship Id="supplierLinkK15" Type="http://schemas.openxmlformats.org/officeDocument/2006/relationships/hyperlink" Target="https://my.mouser.com/ProductDetail/YAGEO/AC0603FR-0710KL?qs=UoPT7wUmgYKz3zh0UDMA4Q%3D%3D" TargetMode="External" /><ns0:Relationship Id="supplierLinkJ16" Type="http://schemas.openxmlformats.org/officeDocument/2006/relationships/hyperlink" Target="https://www.digikey.com/en/products/detail/vishay-dale/CRCW0603100KFKEA/1174896" TargetMode="External" /><ns0:Relationship Id="supplierLinkK16" Type="http://schemas.openxmlformats.org/officeDocument/2006/relationships/hyperlink" Target="https://www.mouser.com/en/ProductDetail/Vishay/CRCW0603100KFKEA?qs=6dqgS%252BKntICWHMMdIzt5%2FQ%3D%3D" TargetMode="External" /><ns0:Relationship Id="supplierLinkJ17" Type="http://schemas.openxmlformats.org/officeDocument/2006/relationships/hyperlink" Target="https://www.digikey.com/en/products/detail/yageo/RC0603FR-0733RL/730105" TargetMode="External" /><ns0:Relationship Id="supplierLinkK17" Type="http://schemas.openxmlformats.org/officeDocument/2006/relationships/hyperlink" Target="https://www.mouser.com/en/ProductDetail/YAGEO/RC0603FR-0733RL?qs=diQw95jMAeMotgif2GSHTQ%3D%3D" TargetMode="External" /><ns0:Relationship Id="supplierLinkJ18" Type="http://schemas.openxmlformats.org/officeDocument/2006/relationships/hyperlink" Target="https://www.digikey.com/en/products/detail/jst-sales-america-inc/B3B-XH-A/1651046" TargetMode="External" /><ns0:Relationship Id="supplierLinkK18" Type="http://schemas.openxmlformats.org/officeDocument/2006/relationships/hyperlink" Target="https://www.mouser.com/en/ProductDetail/JST-Commercial/B3B-XH-ALFSN?qs=cdbOS8ANM9BVkoboCCIEMQ%3D%3D" TargetMode="External" /><ns0:Relationship Id="supplierLinkJ19" Type="http://schemas.openxmlformats.org/officeDocument/2006/relationships/hyperlink" Target="https://www.digikey.com/en/products/detail/jst-sales-america-inc/B2B-XH-A/1651045" TargetMode="External" /><ns0:Relationship Id="supplierLinkK19" Type="http://schemas.openxmlformats.org/officeDocument/2006/relationships/hyperlink" Target="https://www.mouser.com/en/ProductDetail/JST-Commercial/B2B-XH-ALFSN?qs=cdbOS8ANM9DdcSn9qRmfCw%3D%3D" TargetMode="External" /><ns0:Relationship Id="supplierLinkJ20" Type="http://schemas.openxmlformats.org/officeDocument/2006/relationships/hyperlink" Target="https://www.digikey.com/en/products/detail/harwin-inc/M20-7832046/3728114" TargetMode="External" /><ns0:Relationship Id="supplierLinkK20" Type="http://schemas.openxmlformats.org/officeDocument/2006/relationships/hyperlink" Target="https://www.mouser.com/en/ProductDetail/Harwin/M20-7832046?qs=93uzuGORGqcTOAy6u%252BlWXQ%3D%3D" TargetMode="External" /><ns0:Relationship Id="supplierLinkJ21" Type="http://schemas.openxmlformats.org/officeDocument/2006/relationships/hyperlink" Target="https://www.digikey.com/en/products/detail/littelfuse-inc/0466001-NR/521337" TargetMode="External" /><ns0:Relationship Id="supplierLinkK21" Type="http://schemas.openxmlformats.org/officeDocument/2006/relationships/hyperlink" Target="https://www.mouser.com/en/ProductDetail/Littelfuse/0466001.NR?qs=ar9f0rk5DXDy6tpNfF8WnQ%3D%3D" TargetMode="External" /><ns0:Relationship Id="supplierLinkJ22" Type="http://schemas.openxmlformats.org/officeDocument/2006/relationships/hyperlink" Target="https://www.digikey.com/en/products/detail/alpha-omega-semiconductor-inc/AO3401A/1855943" TargetMode="External" /><ns0:Relationship Id="supplierLinkK22" Type="http://schemas.openxmlformats.org/officeDocument/2006/relationships/hyperlink" Target="https://www.mouser.com/c/?q=AO3401A" TargetMode="External" /><ns0:Relationship Id="supplierLinkJ23" Type="http://schemas.openxmlformats.org/officeDocument/2006/relationships/hyperlink" Target="https://www.digikey.com/en/products/detail/diodes-incorporated/BZT52C6V8-13-F/4570599" TargetMode="External" /><ns0:Relationship Id="supplierLinkK23" Type="http://schemas.openxmlformats.org/officeDocument/2006/relationships/hyperlink" Target="https://www.mouser.com/en/ProductDetail/Diodes-Incorporated/BZT52C6V8-13-F?qs=VJbqQHImxExiLN1mVoOupA%3D%3D" TargetMode="External" /><ns0:Relationship Id="supplierLinkJ24" Type="http://schemas.openxmlformats.org/officeDocument/2006/relationships/hyperlink" Target="https://www.digikey.com/en/products/detail/nexperia-usa-inc/74AHC30PW-118/3724158" TargetMode="External" /><ns0:Relationship Id="supplierLinkK24" Type="http://schemas.openxmlformats.org/officeDocument/2006/relationships/hyperlink" Target="https://www.mouser.com/ProductDetail/Nexperia/74AHC30PW118?qs=P62ublwmbi%252B963Q4ACANGA%3D%3D" TargetMode="External" /><ns0:Relationship Id="supplierLinkJ25" Type="http://schemas.openxmlformats.org/officeDocument/2006/relationships/hyperlink" Target="https://www.digikey.com/en/products/detail/nexperia-usa-inc/74LVC32APW-118/946666" TargetMode="External" /><ns0:Relationship Id="supplierLinkK25" Type="http://schemas.openxmlformats.org/officeDocument/2006/relationships/hyperlink" Target="https://www.mouser.com/en/ProductDetail/Nexperia/74LVC32APW118?qs=me8TqzrmIYUPFZGtjJtRrA%3D%3D" TargetMode="External" /><ns0:Relationship Id="supplierLinkJ26" Type="http://schemas.openxmlformats.org/officeDocument/2006/relationships/hyperlink" Target="https://www.digikey.com/en/products/detail/diodes-incorporated/74LVC04AT14-13/10452774" TargetMode="External" /><ns0:Relationship Id="supplierLinkK26" Type="http://schemas.openxmlformats.org/officeDocument/2006/relationships/hyperlink" Target="https://www.mouser.com/ProductDetail/Diodes-Incorporated/74LVC04AT14-13?qs=ZtY9WdtwX56ItyAjeD24GQ%3D%3D" TargetMode="External" /><ns0:Relationship Id="supplierLinkJ27" Type="http://schemas.openxmlformats.org/officeDocument/2006/relationships/hyperlink" Target="https://www.digikey.com/en/products/detail/harwin-inc/M20-9990246/3728226" TargetMode="External" /><ns0:Relationship Id="supplierLinkK27" Type="http://schemas.openxmlformats.org/officeDocument/2006/relationships/hyperlink" Target="https://www.mouser.com/en/ProductDetail/Harwin/M20-9990246?qs=Jph8NoUxIfWjw4WmyRvzag%3D%3D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53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34" hidden="0" customWidth="1"/>
    <col min="2" max="2" width="8" hidden="0" customWidth="1"/>
    <col min="3" max="3" width="8" hidden="0" customWidth="1"/>
    <col min="4" max="4" width="14" hidden="0" customWidth="1"/>
    <col min="5" max="5" width="14" hidden="0" customWidth="1"/>
    <col min="6" max="6" width="15" hidden="0" customWidth="1"/>
    <col min="7" max="7" width="14" hidden="0" customWidth="1"/>
    <col min="8" max="8" width="14" hidden="0" customWidth="1"/>
    <col min="9" max="9" width="15" hidden="0" customWidth="1"/>
    <col min="10" max="10" width="13" hidden="0" customWidth="1"/>
    <col min="11" max="11" width="13" hidden="0" customWidth="1"/>
    <col min="12" max="12" width="3" hidden="0" customWidth="1"/>
    <col min="13" max="13" width="65" hidden="0" customWidth="1"/>
    <col min="14" max="14" width="94" hidden="0" customWidth="1"/>
    <col min="15" max="15" width="160" hidden="0" customWidth="1"/>
  </cols>
  <sheetData>
    <row r="2">
      <c r="A2" s="2" t="str">
        <v>PCB parts for one board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3" t="str">
        <v>120 fitted components. Order 144 pieces across 21 purchase lines.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3" t="str">
        <v>Stock/prices: 2026-10-29; 10k/100k replacements checked 2026-10-30. USD excludes shipping, tax and tariffs.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34" customHeight="1">
      <c r="A6" s="8" t="str">
        <v>Manufacturer part</v>
      </c>
      <c r="B6" s="8" t="str">
        <v>Needed</v>
      </c>
      <c r="C6" s="8" t="str">
        <v>Order</v>
      </c>
      <c r="D6" s="8" t="str">
        <v>DigiKey USD each</v>
      </c>
      <c r="E6" s="8" t="str">
        <v>DigiKey USD line</v>
      </c>
      <c r="F6" s="8" t="str">
        <v>DigiKey stock</v>
      </c>
      <c r="G6" s="8" t="str">
        <v>Mouser USD each</v>
      </c>
      <c r="H6" s="8" t="str">
        <v>Mouser USD line</v>
      </c>
      <c r="I6" s="8" t="str">
        <v>Mouser stock</v>
      </c>
      <c r="J6" s="8" t="str">
        <v>DigiKey</v>
      </c>
      <c r="K6" s="8" t="str">
        <v>Mouser</v>
      </c>
      <c r="L6" s="1" t="str"/>
      <c r="M6" s="13" t="str">
        <v>References</v>
      </c>
      <c r="N6" s="13" t="str">
        <v>Existing PCB footprint</v>
      </c>
      <c r="O6" s="13" t="str">
        <v>Notes</v>
      </c>
    </row>
    <row r="7" ht="25" customHeight="1">
      <c r="A7" s="14" t="str">
        <v>MCP251863T-E/SS</v>
      </c>
      <c r="B7" s="17" t="n">
        <v>8</v>
      </c>
      <c r="C7" s="17" t="n">
        <v>9</v>
      </c>
      <c r="D7" s="19" t="n">
        <v>2.3</v>
      </c>
      <c r="E7" s="20" t="n">
        <f>ROUND(C7*D7,2)</f>
        <v>20.7</v>
      </c>
      <c r="F7" s="22" t="n">
        <v>1218</v>
      </c>
      <c r="G7" s="19" t="n">
        <v>2.3</v>
      </c>
      <c r="H7" s="20" t="n">
        <f>ROUND(C7*G7,2)</f>
        <v>20.7</v>
      </c>
      <c r="I7" s="22" t="n">
        <v>6897</v>
      </c>
      <c r="J7" s="24" t="str">
        <v>DigiKey</v>
      </c>
      <c r="K7" s="24" t="str">
        <v>Mouser</v>
      </c>
      <c r="L7" s="14"/>
      <c r="M7" s="14" t="str">
        <v>U9, U10, U11, U12, U13, U14, U15, U16</v>
      </c>
      <c r="N7" s="14" t="str">
        <v>BreakoutBoard:SSOP-28_5.3x10.2mm_P0.65mm</v>
      </c>
      <c r="O7" s="14" t="str">
        <v>8 fitted; 1 spare(s).</v>
      </c>
    </row>
    <row r="8" ht="25" customHeight="1">
      <c r="A8" s="25" t="str">
        <v>ABM8G-40.000MHZ-18-D2Y-T</v>
      </c>
      <c r="B8" s="26" t="n">
        <v>8</v>
      </c>
      <c r="C8" s="26" t="n">
        <v>9</v>
      </c>
      <c r="D8" s="27" t="n">
        <v>0.62</v>
      </c>
      <c r="E8" s="28" t="n">
        <f>ROUND(C8*D8,2)</f>
        <v>5.58</v>
      </c>
      <c r="F8" s="29" t="n">
        <v>389</v>
      </c>
      <c r="G8" s="27" t="n">
        <v>0.62</v>
      </c>
      <c r="H8" s="28" t="n">
        <f>ROUND(C8*G8,2)</f>
        <v>5.58</v>
      </c>
      <c r="I8" s="29" t="n">
        <v>1362</v>
      </c>
      <c r="J8" s="30" t="str">
        <v>DigiKey</v>
      </c>
      <c r="K8" s="30" t="str">
        <v>Mouser</v>
      </c>
      <c r="L8" s="14"/>
      <c r="M8" s="14" t="str">
        <v>Y1, Y2, Y3, Y4, Y5, Y6, Y7, Y8</v>
      </c>
      <c r="N8" s="14" t="str">
        <v>BreakoutBoard:Crystal_SMD_Abracon_ABM8G-4Pin_3.2x2.5mm</v>
      </c>
      <c r="O8" s="14" t="str">
        <v>8 fitted; 1 spare(s).</v>
      </c>
    </row>
    <row r="9" ht="25" customHeight="1">
      <c r="A9" s="14" t="str">
        <v>TLV75533PDBVR</v>
      </c>
      <c r="B9" s="17" t="n">
        <v>1</v>
      </c>
      <c r="C9" s="17" t="n">
        <v>2</v>
      </c>
      <c r="D9" s="19" t="n">
        <v>0.45</v>
      </c>
      <c r="E9" s="20" t="n">
        <f>ROUND(C9*D9,2)</f>
        <v>0.9</v>
      </c>
      <c r="F9" s="22" t="n">
        <v>82294</v>
      </c>
      <c r="G9" s="19" t="n">
        <v>0.44</v>
      </c>
      <c r="H9" s="20" t="n">
        <f>ROUND(C9*G9,2)</f>
        <v>0.88</v>
      </c>
      <c r="I9" s="22" t="n">
        <v>49482</v>
      </c>
      <c r="J9" s="24" t="str">
        <v>DigiKey</v>
      </c>
      <c r="K9" s="24" t="str">
        <v>Mouser</v>
      </c>
      <c r="L9" s="14"/>
      <c r="M9" s="14" t="str">
        <v>U3</v>
      </c>
      <c r="N9" s="14" t="str">
        <v>BreakoutBoard:SOT-23-5</v>
      </c>
      <c r="O9" s="14" t="str">
        <v>1 fitted; 1 spare(s).</v>
      </c>
    </row>
    <row r="10" ht="25" customHeight="1">
      <c r="A10" s="25" t="str">
        <v>CL10C270JB8NNNC</v>
      </c>
      <c r="B10" s="26" t="n">
        <v>16</v>
      </c>
      <c r="C10" s="26" t="n">
        <v>18</v>
      </c>
      <c r="D10" s="27" t="n">
        <v>0.028</v>
      </c>
      <c r="E10" s="28" t="n">
        <f>ROUND(C10*D10,2)</f>
        <v>0.5</v>
      </c>
      <c r="F10" s="29" t="n">
        <v>1471</v>
      </c>
      <c r="G10" s="27" t="str">
        <v>n.a.</v>
      </c>
      <c r="H10" s="28" t="str">
        <f>"n.a."</f>
        <v>n.a.</v>
      </c>
      <c r="I10" s="29" t="str">
        <v>Unverified</v>
      </c>
      <c r="J10" s="30" t="str">
        <v>DigiKey</v>
      </c>
      <c r="K10" s="30" t="str">
        <v>Mouser</v>
      </c>
      <c r="L10" s="14"/>
      <c r="M10" s="14" t="str">
        <v>C2, C3, C4, C5, C6, C7, C8, C9, C10, C11, C12, C13, C14, C15, C16, C17</v>
      </c>
      <c r="N10" s="14" t="str">
        <v>Capacitor_SMD:C_0603_1608Metric</v>
      </c>
      <c r="O10" s="14" t="str">
        <v>16 fitted; 2 spare(s).</v>
      </c>
    </row>
    <row r="11" ht="25" customHeight="1">
      <c r="A11" s="14" t="str">
        <v>CC0603KRX7R9BB104</v>
      </c>
      <c r="B11" s="17" t="n">
        <v>28</v>
      </c>
      <c r="C11" s="17" t="n">
        <v>30</v>
      </c>
      <c r="D11" s="19" t="n">
        <v>0.08</v>
      </c>
      <c r="E11" s="20" t="n">
        <f>ROUND(C11*D11,2)</f>
        <v>2.4</v>
      </c>
      <c r="F11" s="22" t="n">
        <v>62814</v>
      </c>
      <c r="G11" s="19" t="n">
        <v>0.073</v>
      </c>
      <c r="H11" s="20" t="n">
        <f>ROUND(C11*G11,2)</f>
        <v>2.19</v>
      </c>
      <c r="I11" s="22" t="n">
        <v>47009219</v>
      </c>
      <c r="J11" s="24" t="str">
        <v>DigiKey</v>
      </c>
      <c r="K11" s="24" t="str">
        <v>Mouser</v>
      </c>
      <c r="L11" s="14"/>
      <c r="M11" s="14" t="str">
        <v>C1, C21-C47</v>
      </c>
      <c r="N11" s="14" t="str">
        <v>BreakoutBoard:C_0603_1608Metric</v>
      </c>
      <c r="O11" s="14" t="str">
        <v>28 x 100 nF bypass capacitors: C1 and C21-C47. MPN retained in hidden fields. 28 fitted; 2 spare(s).</v>
      </c>
    </row>
    <row r="12" ht="25" customHeight="1">
      <c r="A12" s="25" t="str">
        <v>CGA3E1X7R1E105K080AC</v>
      </c>
      <c r="B12" s="26" t="n">
        <v>2</v>
      </c>
      <c r="C12" s="26" t="n">
        <v>3</v>
      </c>
      <c r="D12" s="27" t="n">
        <v>0.17</v>
      </c>
      <c r="E12" s="28" t="n">
        <f>ROUND(C12*D12,2)</f>
        <v>0.51</v>
      </c>
      <c r="F12" s="29" t="n">
        <v>1368662</v>
      </c>
      <c r="G12" s="27" t="n">
        <v>0.17</v>
      </c>
      <c r="H12" s="28" t="n">
        <f>ROUND(C12*G12,2)</f>
        <v>0.51</v>
      </c>
      <c r="I12" s="29" t="n">
        <v>1426652</v>
      </c>
      <c r="J12" s="30" t="str">
        <v>DigiKey</v>
      </c>
      <c r="K12" s="30" t="str">
        <v>Mouser</v>
      </c>
      <c r="L12" s="14"/>
      <c r="M12" s="14" t="str">
        <v>C18, C19</v>
      </c>
      <c r="N12" s="14" t="str">
        <v>BreakoutBoard:C_0603_1608Metric</v>
      </c>
      <c r="O12" s="14" t="str">
        <v>2 fitted; 1 spare(s).</v>
      </c>
    </row>
    <row r="13" ht="25" customHeight="1">
      <c r="A13" s="14" t="str">
        <v>CL21B106KOQNNNE</v>
      </c>
      <c r="B13" s="17" t="n">
        <v>1</v>
      </c>
      <c r="C13" s="17" t="n">
        <v>2</v>
      </c>
      <c r="D13" s="19" t="n">
        <v>0.27</v>
      </c>
      <c r="E13" s="20" t="n">
        <f>ROUND(C13*D13,2)</f>
        <v>0.54</v>
      </c>
      <c r="F13" s="22" t="n">
        <v>187206</v>
      </c>
      <c r="G13" s="19" t="n">
        <v>0.3</v>
      </c>
      <c r="H13" s="20" t="n">
        <f>ROUND(C13*G13,2)</f>
        <v>0.6</v>
      </c>
      <c r="I13" s="22" t="str">
        <v>Unverified</v>
      </c>
      <c r="J13" s="24" t="str">
        <v>DigiKey</v>
      </c>
      <c r="K13" s="24" t="str">
        <v>Mouser</v>
      </c>
      <c r="L13" s="14"/>
      <c r="M13" s="14" t="str">
        <v>C20</v>
      </c>
      <c r="N13" s="14" t="str">
        <v>BreakoutBoard:C_0805_2012Metric</v>
      </c>
      <c r="O13" s="14" t="str">
        <v>1 fitted; 1 spare(s).</v>
      </c>
    </row>
    <row r="14" ht="25" customHeight="1">
      <c r="A14" s="25" t="str">
        <v>RC1206FR-07120RL</v>
      </c>
      <c r="B14" s="26" t="n">
        <v>8</v>
      </c>
      <c r="C14" s="26" t="n">
        <v>9</v>
      </c>
      <c r="D14" s="27" t="n">
        <v>0.1</v>
      </c>
      <c r="E14" s="28" t="n">
        <f>ROUND(C14*D14,2)</f>
        <v>0.9</v>
      </c>
      <c r="F14" s="29" t="n">
        <v>131576</v>
      </c>
      <c r="G14" s="27" t="n">
        <v>0.1</v>
      </c>
      <c r="H14" s="28" t="n">
        <f>ROUND(C14*G14,2)</f>
        <v>0.9</v>
      </c>
      <c r="I14" s="29" t="n">
        <v>120281</v>
      </c>
      <c r="J14" s="30" t="str">
        <v>DigiKey</v>
      </c>
      <c r="K14" s="30" t="str">
        <v>Mouser</v>
      </c>
      <c r="L14" s="14"/>
      <c r="M14" s="14" t="str">
        <v>R6, R10, R13, R16, R23, R26, R29, R32</v>
      </c>
      <c r="N14" s="14" t="str">
        <v>BreakoutBoard:R_1206_3216Metric</v>
      </c>
      <c r="O14" s="14" t="str">
        <v>All eight CAN termination resistors use this 1206, 120-ohm, 1%, 0.25 W part. 8 fitted; 1 spare(s).</v>
      </c>
    </row>
    <row r="15" ht="25" customHeight="1">
      <c r="A15" s="14" t="str">
        <v>AC0603FR-0710KL</v>
      </c>
      <c r="B15" s="17" t="n">
        <v>9</v>
      </c>
      <c r="C15" s="17" t="n">
        <v>10</v>
      </c>
      <c r="D15" s="19" t="n">
        <v>0.03</v>
      </c>
      <c r="E15" s="20" t="n">
        <f>ROUND(C15*D15,2)</f>
        <v>0.3</v>
      </c>
      <c r="F15" s="22" t="n">
        <v>971121</v>
      </c>
      <c r="G15" s="19" t="str">
        <v>n.a.</v>
      </c>
      <c r="H15" s="20" t="str">
        <f>"n.a."</f>
        <v>n.a.</v>
      </c>
      <c r="I15" s="22" t="str">
        <v>Unverified</v>
      </c>
      <c r="J15" s="24" t="str">
        <v>DigiKey</v>
      </c>
      <c r="K15" s="24" t="str">
        <v>Mouser</v>
      </c>
      <c r="L15" s="14"/>
      <c r="M15" s="14" t="str">
        <v>R7, R8, R11, R14, R17, R24, R27, R30, R38</v>
      </c>
      <c r="N15" s="14" t="str">
        <v>BreakoutBoard:R_0603_1608Metric</v>
      </c>
      <c r="O15" s="14" t="str">
        <v>CAD MPN: RC0603FR-0710KL. Original RC0603FR-0710KL is out of stock at DigiKey. AC0603FR-0710KL matches its resistance, tolerance, power, TCR and 1.60 x 0.80 x 0.45 mm nominal body. Purchase this compatible substitute for the existing 0603 footprint; no CAD or Gerber changes. 9 fitted; 1 spare(s).</v>
      </c>
    </row>
    <row r="16" ht="25" customHeight="1">
      <c r="A16" s="25" t="str">
        <v>CRCW0603100KFKEA</v>
      </c>
      <c r="B16" s="26" t="n">
        <v>4</v>
      </c>
      <c r="C16" s="26" t="n">
        <v>5</v>
      </c>
      <c r="D16" s="27" t="n">
        <v>0.1</v>
      </c>
      <c r="E16" s="28" t="n">
        <f>ROUND(C16*D16,2)</f>
        <v>0.5</v>
      </c>
      <c r="F16" s="29" t="n">
        <v>3055789</v>
      </c>
      <c r="G16" s="27" t="str">
        <v>n.a.</v>
      </c>
      <c r="H16" s="28" t="str">
        <f>"n.a."</f>
        <v>n.a.</v>
      </c>
      <c r="I16" s="29" t="str">
        <v>Unverified</v>
      </c>
      <c r="J16" s="30" t="str">
        <v>DigiKey</v>
      </c>
      <c r="K16" s="30" t="str">
        <v>Mouser</v>
      </c>
      <c r="L16" s="14"/>
      <c r="M16" s="14" t="str">
        <v>R34, R35, R36, R37</v>
      </c>
      <c r="N16" s="14" t="str">
        <v>BreakoutBoard:R_0603_1608Metric</v>
      </c>
      <c r="O16" s="14" t="str">
        <v>CAD MPN: RC0603FR-07100KL. Original RC0603FR-07100KL is on backorder at DigiKey. CRCW0603100KFKEA matches 100 kohm, 1%, at least 0.1 W and 100 ppm/C. Its standard 0603 body (nominal 1.55 x 0.85 x 0.45 mm) fits the existing IPC-7351 nominal R_0603_1608Metric footprint. The manufacturer specifies 0.10 W standard / 0.125 W extended operation. No schematic, PCB or Gerber change is required. 4 fitted; 1 spare(s).</v>
      </c>
    </row>
    <row r="17" ht="25" customHeight="1">
      <c r="A17" s="14" t="str">
        <v>RC0603FR-0733RL</v>
      </c>
      <c r="B17" s="17" t="n">
        <v>16</v>
      </c>
      <c r="C17" s="17" t="n">
        <v>18</v>
      </c>
      <c r="D17" s="19" t="n">
        <v>0.025</v>
      </c>
      <c r="E17" s="20" t="n">
        <f>ROUND(C17*D17,2)</f>
        <v>0.45</v>
      </c>
      <c r="F17" s="22" t="n">
        <v>1088640</v>
      </c>
      <c r="G17" s="19" t="n">
        <v>0.014</v>
      </c>
      <c r="H17" s="20" t="n">
        <f>ROUND(C17*G17,2)</f>
        <v>0.25</v>
      </c>
      <c r="I17" s="22" t="n">
        <v>595649</v>
      </c>
      <c r="J17" s="24" t="str">
        <v>DigiKey</v>
      </c>
      <c r="K17" s="24" t="str">
        <v>Mouser</v>
      </c>
      <c r="L17" s="14"/>
      <c r="M17" s="14" t="str">
        <v>R1, R2, R3, R4, R5, R9, R12, R15, R18, R19, R20, R21, R22, R25, R28, R31</v>
      </c>
      <c r="N17" s="14" t="str">
        <v>BreakoutBoard:R_0603_1608Metric</v>
      </c>
      <c r="O17" s="14" t="str">
        <v>16 fitted; 2 spare(s).</v>
      </c>
    </row>
    <row r="18" ht="25" customHeight="1">
      <c r="A18" s="25" t="str">
        <v>B3B-XH-A</v>
      </c>
      <c r="B18" s="26" t="n">
        <v>8</v>
      </c>
      <c r="C18" s="26" t="n">
        <v>9</v>
      </c>
      <c r="D18" s="27" t="n">
        <v>0.13</v>
      </c>
      <c r="E18" s="28" t="n">
        <f>ROUND(C18*D18,2)</f>
        <v>1.17</v>
      </c>
      <c r="F18" s="29" t="n">
        <v>120351</v>
      </c>
      <c r="G18" s="27" t="n">
        <v>0.13</v>
      </c>
      <c r="H18" s="28" t="n">
        <f>ROUND(C18*G18,2)</f>
        <v>1.17</v>
      </c>
      <c r="I18" s="29" t="str">
        <v>Unverified</v>
      </c>
      <c r="J18" s="30" t="str">
        <v>DigiKey</v>
      </c>
      <c r="K18" s="30" t="str">
        <v>Mouser</v>
      </c>
      <c r="L18" s="14"/>
      <c r="M18" s="14" t="str">
        <v>J4, J5, J7, J8, J9, J10, J11, J12</v>
      </c>
      <c r="N18" s="14" t="str">
        <v>BreakoutBoard:JST_XH_B3B-XH-A_1x03_P2.50mm_Vertical</v>
      </c>
      <c r="O18" s="14" t="str">
        <v>8 fitted; 1 spare(s).</v>
      </c>
    </row>
    <row r="19" ht="25" customHeight="1">
      <c r="A19" s="14" t="str">
        <v>B2B-XH-A</v>
      </c>
      <c r="B19" s="17" t="n">
        <v>1</v>
      </c>
      <c r="C19" s="17" t="n">
        <v>2</v>
      </c>
      <c r="D19" s="19" t="n">
        <v>0.1</v>
      </c>
      <c r="E19" s="20" t="n">
        <f>ROUND(C19*D19,2)</f>
        <v>0.2</v>
      </c>
      <c r="F19" s="22" t="n">
        <v>320857</v>
      </c>
      <c r="G19" s="19" t="n">
        <v>0.1</v>
      </c>
      <c r="H19" s="20" t="n">
        <f>ROUND(C19*G19,2)</f>
        <v>0.2</v>
      </c>
      <c r="I19" s="22" t="n">
        <v>560</v>
      </c>
      <c r="J19" s="24" t="str">
        <v>DigiKey</v>
      </c>
      <c r="K19" s="24" t="str">
        <v>Mouser</v>
      </c>
      <c r="L19" s="14"/>
      <c r="M19" s="14" t="str">
        <v>J6</v>
      </c>
      <c r="N19" s="14" t="str">
        <v>BreakoutBoard:JST_XH_B2B-XH-A_1x02_P2.50mm_Vertical</v>
      </c>
      <c r="O19" s="14" t="str">
        <v>1 fitted; 1 spare(s).</v>
      </c>
    </row>
    <row r="20" ht="25" customHeight="1">
      <c r="A20" s="25" t="str">
        <v>M20-7832046</v>
      </c>
      <c r="B20" s="26" t="n">
        <v>1</v>
      </c>
      <c r="C20" s="26" t="n">
        <v>2</v>
      </c>
      <c r="D20" s="27" t="n">
        <v>4.34</v>
      </c>
      <c r="E20" s="28" t="n">
        <f>ROUND(C20*D20,2)</f>
        <v>8.68</v>
      </c>
      <c r="F20" s="29" t="n">
        <v>4597</v>
      </c>
      <c r="G20" s="27" t="n">
        <v>4.13</v>
      </c>
      <c r="H20" s="28" t="n">
        <f>ROUND(C20*G20,2)</f>
        <v>8.26</v>
      </c>
      <c r="I20" s="29" t="n">
        <v>1973</v>
      </c>
      <c r="J20" s="30" t="str">
        <v>DigiKey</v>
      </c>
      <c r="K20" s="30" t="str">
        <v>Mouser</v>
      </c>
      <c r="L20" s="14"/>
      <c r="M20" s="14" t="str">
        <v>J1</v>
      </c>
      <c r="N20" s="14" t="str">
        <v>Connector_PinSocket_2.54mm:PinSocket_2x20_P2.54mm_Vertical</v>
      </c>
      <c r="O20" s="14" t="str">
        <v>J1 consistently uses M20-7832046 and the female socket footprint in the schematic, PCB and order list. 1 fitted; 1 spare(s).</v>
      </c>
    </row>
    <row r="21" ht="25" customHeight="1">
      <c r="A21" s="14" t="str">
        <v>0466001.NR</v>
      </c>
      <c r="B21" s="17" t="n">
        <v>1</v>
      </c>
      <c r="C21" s="17" t="n">
        <v>2</v>
      </c>
      <c r="D21" s="19" t="n">
        <v>1.25</v>
      </c>
      <c r="E21" s="20" t="n">
        <f>ROUND(C21*D21,2)</f>
        <v>2.5</v>
      </c>
      <c r="F21" s="22" t="n">
        <v>36548</v>
      </c>
      <c r="G21" s="19" t="n">
        <v>0.78</v>
      </c>
      <c r="H21" s="20" t="n">
        <f>ROUND(C21*G21,2)</f>
        <v>1.56</v>
      </c>
      <c r="I21" s="22" t="n">
        <v>45577</v>
      </c>
      <c r="J21" s="24" t="str">
        <v>DigiKey</v>
      </c>
      <c r="K21" s="24" t="str">
        <v>Mouser</v>
      </c>
      <c r="L21" s="14"/>
      <c r="M21" s="14" t="str">
        <v>F1</v>
      </c>
      <c r="N21" s="14" t="str">
        <v>BreakoutBoard:Fuse_1206_3216Metric</v>
      </c>
      <c r="O21" s="14" t="str">
        <v>F1 is fitted in the current schematic and layout. 1 fitted; 1 spare(s).</v>
      </c>
    </row>
    <row r="22" ht="25" customHeight="1">
      <c r="A22" s="25" t="str">
        <v>AO3401A</v>
      </c>
      <c r="B22" s="26" t="n">
        <v>1</v>
      </c>
      <c r="C22" s="26" t="n">
        <v>2</v>
      </c>
      <c r="D22" s="27" t="n">
        <v>0.52</v>
      </c>
      <c r="E22" s="28" t="n">
        <f>ROUND(C22*D22,2)</f>
        <v>1.04</v>
      </c>
      <c r="F22" s="29" t="n">
        <v>443245</v>
      </c>
      <c r="G22" s="27" t="str">
        <v>n.a.</v>
      </c>
      <c r="H22" s="28" t="str">
        <f>"n.a."</f>
        <v>n.a.</v>
      </c>
      <c r="I22" s="29" t="str">
        <v>Unverified</v>
      </c>
      <c r="J22" s="30" t="str">
        <v>DigiKey</v>
      </c>
      <c r="K22" s="30" t="str">
        <v>Search only</v>
      </c>
      <c r="L22" s="14"/>
      <c r="M22" s="14" t="str">
        <v>Q1</v>
      </c>
      <c r="N22" s="14" t="str">
        <v>BreakoutBoard:SOT-23</v>
      </c>
      <c r="O22" s="14" t="str">
        <v>Keep Alpha &amp; Omega AO3401A. No alternate MOSFET selected. 1 fitted; 1 spare(s).</v>
      </c>
    </row>
    <row r="23" ht="25" customHeight="1">
      <c r="A23" s="14" t="str">
        <v>BZT52C6V8-13-F</v>
      </c>
      <c r="B23" s="17" t="n">
        <v>1</v>
      </c>
      <c r="C23" s="17" t="n">
        <v>2</v>
      </c>
      <c r="D23" s="19" t="n">
        <v>0.22</v>
      </c>
      <c r="E23" s="20" t="n">
        <f>ROUND(C23*D23,2)</f>
        <v>0.44</v>
      </c>
      <c r="F23" s="22" t="n">
        <v>6702</v>
      </c>
      <c r="G23" s="19" t="n">
        <v>0.21</v>
      </c>
      <c r="H23" s="20" t="n">
        <f>ROUND(C23*G23,2)</f>
        <v>0.42</v>
      </c>
      <c r="I23" s="22" t="n">
        <v>9830</v>
      </c>
      <c r="J23" s="24" t="str">
        <v>DigiKey</v>
      </c>
      <c r="K23" s="24" t="str">
        <v>Mouser</v>
      </c>
      <c r="L23" s="14"/>
      <c r="M23" s="14" t="str">
        <v>D2</v>
      </c>
      <c r="N23" s="14" t="str">
        <v>BreakoutBoard:D_SOD-123</v>
      </c>
      <c r="O23" s="14" t="str">
        <v>1 fitted; 1 spare(s).</v>
      </c>
    </row>
    <row r="24" ht="25" customHeight="1">
      <c r="A24" s="25" t="str">
        <v>74AHC30PW,118</v>
      </c>
      <c r="B24" s="26" t="n">
        <v>1</v>
      </c>
      <c r="C24" s="26" t="n">
        <v>2</v>
      </c>
      <c r="D24" s="27" t="n">
        <v>0.39</v>
      </c>
      <c r="E24" s="28" t="n">
        <f>ROUND(C24*D24,2)</f>
        <v>0.78</v>
      </c>
      <c r="F24" s="29" t="n">
        <v>6890</v>
      </c>
      <c r="G24" s="27" t="n">
        <v>0.39</v>
      </c>
      <c r="H24" s="28" t="n">
        <f>ROUND(C24*G24,2)</f>
        <v>0.78</v>
      </c>
      <c r="I24" s="29" t="n">
        <v>3795</v>
      </c>
      <c r="J24" s="30" t="str">
        <v>DigiKey</v>
      </c>
      <c r="K24" s="30" t="str">
        <v>Mouser</v>
      </c>
      <c r="L24" s="14"/>
      <c r="M24" s="14" t="str">
        <v>U4</v>
      </c>
      <c r="N24" s="14" t="str">
        <v>BreakoutBoard:TSSOP-14_4.4x5mm_P0.65mm</v>
      </c>
      <c r="O24" s="14" t="str">
        <v>1 fitted; 1 spare(s).</v>
      </c>
    </row>
    <row r="25" ht="25" customHeight="1">
      <c r="A25" s="14" t="str">
        <v>74LVC32APW,118</v>
      </c>
      <c r="B25" s="17" t="n">
        <v>2</v>
      </c>
      <c r="C25" s="17" t="n">
        <v>3</v>
      </c>
      <c r="D25" s="19" t="n">
        <v>0.25</v>
      </c>
      <c r="E25" s="20" t="n">
        <f>ROUND(C25*D25,2)</f>
        <v>0.75</v>
      </c>
      <c r="F25" s="22" t="n">
        <v>6192</v>
      </c>
      <c r="G25" s="19" t="n">
        <v>0.25</v>
      </c>
      <c r="H25" s="20" t="n">
        <f>ROUND(C25*G25,2)</f>
        <v>0.75</v>
      </c>
      <c r="I25" s="22" t="n">
        <v>3867</v>
      </c>
      <c r="J25" s="24" t="str">
        <v>DigiKey</v>
      </c>
      <c r="K25" s="24" t="str">
        <v>Mouser</v>
      </c>
      <c r="L25" s="14"/>
      <c r="M25" s="14" t="str">
        <v>U1, U5</v>
      </c>
      <c r="N25" s="14" t="str">
        <v>BreakoutBoard:TSSOP-14_4.4x5mm_P0.65mm</v>
      </c>
      <c r="O25" s="14" t="str">
        <v>2 fitted; 1 spare(s).</v>
      </c>
    </row>
    <row r="26" ht="25" customHeight="1">
      <c r="A26" s="25" t="str">
        <v>74LVC04AT14-13</v>
      </c>
      <c r="B26" s="26" t="n">
        <v>1</v>
      </c>
      <c r="C26" s="26" t="n">
        <v>2</v>
      </c>
      <c r="D26" s="27" t="n">
        <v>0.32</v>
      </c>
      <c r="E26" s="28" t="n">
        <f>ROUND(C26*D26,2)</f>
        <v>0.64</v>
      </c>
      <c r="F26" s="29" t="n">
        <v>4004</v>
      </c>
      <c r="G26" s="27" t="n">
        <v>0.28</v>
      </c>
      <c r="H26" s="28" t="n">
        <f>ROUND(C26*G26,2)</f>
        <v>0.56</v>
      </c>
      <c r="I26" s="29" t="n">
        <v>2760</v>
      </c>
      <c r="J26" s="30" t="str">
        <v>DigiKey</v>
      </c>
      <c r="K26" s="30" t="str">
        <v>Mouser</v>
      </c>
      <c r="L26" s="14"/>
      <c r="M26" s="14" t="str">
        <v>U2</v>
      </c>
      <c r="N26" s="14" t="str">
        <v>BreakoutBoard:TSSOP-14_4.4x5mm_P0.65mm</v>
      </c>
      <c r="O26" s="14" t="str">
        <v>1 fitted; 1 spare(s).</v>
      </c>
    </row>
    <row r="27" ht="25" customHeight="1">
      <c r="A27" s="14" t="str">
        <v>M20-9990246</v>
      </c>
      <c r="B27" s="17" t="n">
        <v>2</v>
      </c>
      <c r="C27" s="17" t="n">
        <v>3</v>
      </c>
      <c r="D27" s="19" t="n">
        <v>0.1</v>
      </c>
      <c r="E27" s="20" t="n">
        <f>ROUND(C27*D27,2)</f>
        <v>0.3</v>
      </c>
      <c r="F27" s="22" t="n">
        <v>179951</v>
      </c>
      <c r="G27" s="19" t="n">
        <v>0.1</v>
      </c>
      <c r="H27" s="20" t="n">
        <f>ROUND(C27*G27,2)</f>
        <v>0.3</v>
      </c>
      <c r="I27" s="22" t="n">
        <v>98136</v>
      </c>
      <c r="J27" s="24" t="str">
        <v>DigiKey</v>
      </c>
      <c r="K27" s="24" t="str">
        <v>Mouser</v>
      </c>
      <c r="L27" s="14"/>
      <c r="M27" s="14" t="str">
        <v>TP13, TP14</v>
      </c>
      <c r="N27" s="14" t="str">
        <v>Connector_PinHeader_2.54mm:PinHeader_1x02_P2.54mm_Vertical</v>
      </c>
      <c r="O27" s="14" t="str">
        <v>Fitted headers for TP13 and TP14. The other 21 test points are bare PCB pads. 2 fitted; 1 spare(s).</v>
      </c>
    </row>
    <row r="28">
      <c r="A28" s="1"/>
      <c r="B28" s="18"/>
      <c r="C28" s="18"/>
      <c r="D28" s="16"/>
      <c r="E28" s="21"/>
      <c r="F28" s="16"/>
      <c r="G28" s="16"/>
      <c r="H28" s="16"/>
      <c r="I28" s="16"/>
      <c r="J28" s="1"/>
      <c r="K28" s="1"/>
      <c r="L28" s="1"/>
      <c r="M28" s="1"/>
      <c r="N28" s="1"/>
      <c r="O28" s="1"/>
    </row>
    <row r="29" ht="28" customHeight="1">
      <c r="A29" s="35" t="str">
        <v>DigiKey order total</v>
      </c>
      <c r="B29" s="36" t="n">
        <f>SUM(B7:B27)</f>
        <v>120</v>
      </c>
      <c r="C29" s="36" t="n">
        <f>SUM(C7:C27)</f>
        <v>144</v>
      </c>
      <c r="D29" s="37"/>
      <c r="E29" s="38" t="n">
        <f>SUM(E7:E27)</f>
        <v>49.78</v>
      </c>
      <c r="F29" s="37"/>
      <c r="G29" s="37" t="str">
        <v>Mouser total</v>
      </c>
      <c r="H29" s="37" t="str">
        <v>Incomplete</v>
      </c>
      <c r="I29" s="37"/>
      <c r="J29" s="35"/>
      <c r="K29" s="35"/>
      <c r="L29" s="1"/>
      <c r="M29" s="1"/>
      <c r="N29" s="1"/>
      <c r="O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A31" s="1" t="str">
        <v>24 spare pieces: 20% extra overall, including at least one spare of every part type. Quantities match the bulk-add text.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1" t="str">
        <v>Replacements: 10k AC0603FR-0710KL; 100k CRCW0603100KFKEA. Both fit existing 0603 footprints. CAD and Gerbers unchanged.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1" t="str">
        <v>Mouser AO3401A is search only. Unverified stock and missing USD prices are shown explicitly.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</sheetData>
  <hyperlinks>
    <hyperlink ref="J7" r:id="supplierLinkJ7"/>
    <hyperlink ref="K7" r:id="supplierLinkK7"/>
    <hyperlink ref="J8" r:id="supplierLinkJ8"/>
    <hyperlink ref="K8" r:id="supplierLinkK8"/>
    <hyperlink ref="J9" r:id="supplierLinkJ9"/>
    <hyperlink ref="K9" r:id="supplierLinkK9"/>
    <hyperlink ref="J10" r:id="supplierLinkJ10"/>
    <hyperlink ref="K10" r:id="supplierLinkK10"/>
    <hyperlink ref="J11" r:id="supplierLinkJ11"/>
    <hyperlink ref="K11" r:id="supplierLinkK11"/>
    <hyperlink ref="J12" r:id="supplierLinkJ12"/>
    <hyperlink ref="K12" r:id="supplierLinkK12"/>
    <hyperlink ref="J13" r:id="supplierLinkJ13"/>
    <hyperlink ref="K13" r:id="supplierLinkK13"/>
    <hyperlink ref="J14" r:id="supplierLinkJ14"/>
    <hyperlink ref="K14" r:id="supplierLinkK14"/>
    <hyperlink ref="J15" r:id="supplierLinkJ15"/>
    <hyperlink ref="K15" r:id="supplierLinkK15"/>
    <hyperlink ref="J16" r:id="supplierLinkJ16"/>
    <hyperlink ref="K16" r:id="supplierLinkK16"/>
    <hyperlink ref="J17" r:id="supplierLinkJ17"/>
    <hyperlink ref="K17" r:id="supplierLinkK17"/>
    <hyperlink ref="J18" r:id="supplierLinkJ18"/>
    <hyperlink ref="K18" r:id="supplierLinkK18"/>
    <hyperlink ref="J19" r:id="supplierLinkJ19"/>
    <hyperlink ref="K19" r:id="supplierLinkK19"/>
    <hyperlink ref="J20" r:id="supplierLinkJ20"/>
    <hyperlink ref="K20" r:id="supplierLinkK20"/>
    <hyperlink ref="J21" r:id="supplierLinkJ21"/>
    <hyperlink ref="K21" r:id="supplierLinkK21"/>
    <hyperlink ref="J22" r:id="supplierLinkJ22"/>
    <hyperlink ref="K22" r:id="supplierLinkK22"/>
    <hyperlink ref="J23" r:id="supplierLinkJ23"/>
    <hyperlink ref="K23" r:id="supplierLinkK23"/>
    <hyperlink ref="J24" r:id="supplierLinkJ24"/>
    <hyperlink ref="K24" r:id="supplierLinkK24"/>
    <hyperlink ref="J25" r:id="supplierLinkJ25"/>
    <hyperlink ref="K25" r:id="supplierLinkK25"/>
    <hyperlink ref="J26" r:id="supplierLinkJ26"/>
    <hyperlink ref="K26" r:id="supplierLinkK26"/>
    <hyperlink ref="J27" r:id="supplierLinkJ27"/>
    <hyperlink ref="K27" r:id="supplierLinkK27"/>
  </hyperlinks>
  <pageMargins left="0.7" right="0.7" top="0.75" bottom="0.75" header="0.3" footer="0.3"/>
</worksheet>
</file>